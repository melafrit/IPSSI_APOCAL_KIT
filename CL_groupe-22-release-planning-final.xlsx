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lysse\Downloads\"/>
    </mc:Choice>
  </mc:AlternateContent>
  <xr:revisionPtr revIDLastSave="0" documentId="13_ncr:1_{135AA2A9-BDCE-4C84-8EE8-F6F17ABBA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Couverture" sheetId="1" r:id="rId1"/>
    <sheet name="01_Identification" sheetId="2" r:id="rId2"/>
    <sheet name="02_Release_Planning" sheetId="3" r:id="rId3"/>
    <sheet name="03_Burnup" sheetId="4" r:id="rId4"/>
    <sheet name="04_Auto-évaluation" sheetId="5" r:id="rId5"/>
    <sheet name="05_Écarts_à_valider" sheetId="6" r:id="rId6"/>
    <sheet name="06_Traceabilité_CJ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8" i="4" s="1"/>
  <c r="D9" i="4" s="1"/>
  <c r="D10" i="4" s="1"/>
  <c r="D11" i="4" s="1"/>
  <c r="D12" i="4" s="1"/>
  <c r="D13" i="4" s="1"/>
  <c r="D6" i="4"/>
  <c r="B22" i="3"/>
  <c r="B21" i="3"/>
  <c r="B18" i="3"/>
</calcChain>
</file>

<file path=xl/sharedStrings.xml><?xml version="1.0" encoding="utf-8"?>
<sst xmlns="http://schemas.openxmlformats.org/spreadsheetml/2006/main" count="450" uniqueCount="297">
  <si>
    <t>A
APOCAL'IPSSI</t>
  </si>
  <si>
    <t>RELEASE PLANNING</t>
  </si>
  <si>
    <t>Planning des 7 sprints demi-journée et des 2 releases d'EduTutor IA
Version intégrant la Customer Journey finale Étudiante + Enseignante</t>
  </si>
  <si>
    <t>MVP étudiant + premier périmètre enseignant Mme Lefèvre</t>
  </si>
  <si>
    <t>Projet EduTutor IA · Édition 2026 · Semaine immersive Scrum
Équipe 22 · Version v2.1 · Statut : Draft à valider par le PO</t>
  </si>
  <si>
    <t>IDENTIFICATION DU DOCUMENT</t>
  </si>
  <si>
    <t>Équipe n°</t>
  </si>
  <si>
    <t>22</t>
  </si>
  <si>
    <t>Membres</t>
  </si>
  <si>
    <t>Antoine VAUTHIER, Alainpatrick GOMAS, Cleg LOUFOUA, Baptiste MAES, Kyllian VIGNOCAN, Tom LAU, Yacine DJEBBOURI</t>
  </si>
  <si>
    <t>Sprint concerné</t>
  </si>
  <si>
    <t>Cadrage / post-perturbation J1</t>
  </si>
  <si>
    <t>Version</t>
  </si>
  <si>
    <t>v2.1</t>
  </si>
  <si>
    <t>Date de remise</t>
  </si>
  <si>
    <t>30/06/2026</t>
  </si>
  <si>
    <t>Statut</t>
  </si>
  <si>
    <t>Draft - en attente de validation PO</t>
  </si>
  <si>
    <t>DÉCISION DE CADRAGE J1 RETENUE POUR CE PLANNING</t>
  </si>
  <si>
    <t>La cible enseignante reste un SHOULD afin de préserver le MVP étudiant. La Customer Journey finale confirme un parcours enseignant progressif : découverte, adoption, usage hebdomadaire, satisfaction/frustration puis fidélisation. La Release 1 couvre l'adoption et le premier usage régulier (création/partage du quiz + consultation des résultats de classe). La Release 2 couvre la détection des étudiants en difficulté et le suivi individuel. L'envoi de conseils personnalisés et l'export Word/PDF restent hors engagement tant qu'ils ne sont pas formalisés dans le Product Backlog.</t>
  </si>
  <si>
    <t>HYPOTHÈSES DE CAPACITÉ</t>
  </si>
  <si>
    <t>Taille équipe</t>
  </si>
  <si>
    <t>personnes</t>
  </si>
  <si>
    <t>À confirmer en équipe : absences, disponibilités réelles, état du code brownfield et capacité consommée par les perturbations techniques. Les SP reflètent la valeur fonctionnelle engagée ; les spikes J2/J3/J4 consomment de la capacité sans être additionnés au scope fonctionnel.</t>
  </si>
  <si>
    <t>Capacité théorique semaine</t>
  </si>
  <si>
    <t>heures-personnes</t>
  </si>
  <si>
    <t>Scope engagé total</t>
  </si>
  <si>
    <t>SP</t>
  </si>
  <si>
    <t>Release 1</t>
  </si>
  <si>
    <t>Release 2 additionnelle</t>
  </si>
  <si>
    <t>SOURCES UTILISÉES</t>
  </si>
  <si>
    <t>Story Map</t>
  </si>
  <si>
    <t>Texte fourni dans la conversation - version après perturbation J1</t>
  </si>
  <si>
    <t>Product Backlog</t>
  </si>
  <si>
    <t>product-backlog.docx</t>
  </si>
  <si>
    <t>Customer Journey</t>
  </si>
  <si>
    <t>customer-journey-final.docx — parcours Léa Martin et Mme Sophie Lefèvre</t>
  </si>
  <si>
    <t>Persona enseignante</t>
  </si>
  <si>
    <t>equipe-22-persona-lefevre-v2.0.md</t>
  </si>
  <si>
    <t>Template</t>
  </si>
  <si>
    <t>release-planning-prof.xlsx (fichier reçu au format PDF, structure reconstruite en XLSX modifiable)</t>
  </si>
  <si>
    <t>RELEASE PLANNING : SEMAINE APOCAL'IPSSI 2026</t>
  </si>
  <si>
    <t>7 sprints × demi-journée + cadrage matinal + soutenance vendredi · Customer Journey finale intégrée · J1/J2/J3/J3-bis/J4 positionnées</t>
  </si>
  <si>
    <t>Sprint</t>
  </si>
  <si>
    <t>Jour</t>
  </si>
  <si>
    <t>Horaires</t>
  </si>
  <si>
    <t>Capacité
(h-pers)</t>
  </si>
  <si>
    <t>Vélocité cible
(SP)</t>
  </si>
  <si>
    <t>Objectif sprint</t>
  </si>
  <si>
    <t>Stories engagées</t>
  </si>
  <si>
    <t>Release / Jalon</t>
  </si>
  <si>
    <t>Cadrage</t>
  </si>
  <si>
    <t>Lundi matin</t>
  </si>
  <si>
    <t>9h00 - 13h30</t>
  </si>
  <si>
    <t>n.c.</t>
  </si>
  <si>
    <t>Finaliser les 7 artefacts ; intégrer J1 ; aligner les deux parcours de la Customer Journey finale avec la Story Map et le Product Backlog.</t>
  </si>
  <si>
    <t>Validation PO + décision J1</t>
  </si>
  <si>
    <t>Sprint 1</t>
  </si>
  <si>
    <t>Lundi PM</t>
  </si>
  <si>
    <t>14h00 - 18h00</t>
  </si>
  <si>
    <t>10</t>
  </si>
  <si>
    <t>Livrer l'entrée du parcours étudiant : création de compte et import du cours, avec validation du flux d'inscription.</t>
  </si>
  <si>
    <t>US-01 (3) · US-02 (5) = 8 SP</t>
  </si>
  <si>
    <t>Sprint Review 18h</t>
  </si>
  <si>
    <t>Sprint 2</t>
  </si>
  <si>
    <t>Mardi matin</t>
  </si>
  <si>
    <t>9h00 - 12h30</t>
  </si>
  <si>
    <t>8-10</t>
  </si>
  <si>
    <t>Générer 10 QCM depuis le cours ; mesurer la latence perçue identifiée dans la Customer Journey ; lancer le benchmark J2 et préparer l'ADR.</t>
  </si>
  <si>
    <t>US-03 (8) = 8 SP</t>
  </si>
  <si>
    <t>⚡ Perturbation J2 à 10h</t>
  </si>
  <si>
    <t>Sprint 3</t>
  </si>
  <si>
    <t>Mardi PM</t>
  </si>
  <si>
    <t>Faire réaliser le quiz, corriger automatiquement, afficher le score et sécuriser la récupération du compte.</t>
  </si>
  <si>
    <t>US-04 (3) · US-05 (3) · US-07 (3) = 9 SP</t>
  </si>
  <si>
    <t>Sprint 4</t>
  </si>
  <si>
    <t>Mercredi matin</t>
  </si>
  <si>
    <t>Couvrir l'étape d'adoption enseignante : créer un quiz, le partager à la classe et préparer un usage sans installation complexe.</t>
  </si>
  <si>
    <t>US-21 (8) = 8 SP</t>
  </si>
  <si>
    <t>⚡ Perturbation J3 à 10h</t>
  </si>
  <si>
    <t>Sprint 5</t>
  </si>
  <si>
    <t>Mercredi PM</t>
  </si>
  <si>
    <t>Couvrir l'usage régulier : historique étudiant + dashboard de résultats de classe, avec attention au réseau dégradé et aux droits d'accès.</t>
  </si>
  <si>
    <t>US-06 (3) · US-22 (5) = 8 SP</t>
  </si>
  <si>
    <t>⚡ J3-bis 14h · RELEASE 1 à 17h45</t>
  </si>
  <si>
    <t>Sprint 6</t>
  </si>
  <si>
    <t>Jeudi matin</t>
  </si>
  <si>
    <t>8</t>
  </si>
  <si>
    <t>Couvrir la satisfaction enseignante : trier les scores et détecter les étudiants sous 5/10 sur 2 quiz consécutifs ; absorber J4.</t>
  </si>
  <si>
    <t>US-J1-01 provisoire (5) = 5 SP</t>
  </si>
  <si>
    <t>⚡ Perturbation J4 à 10h</t>
  </si>
  <si>
    <t>Sprint 7</t>
  </si>
  <si>
    <t>Jeudi PM</t>
  </si>
  <si>
    <t>14h00 - 17h00</t>
  </si>
  <si>
    <t>6-8</t>
  </si>
  <si>
    <t>Consolider le suivi individuel et la fiabilité du dashboard ; finaliser la Release 2. Conseil personnalisé et export restent des stretch goals non engagés.</t>
  </si>
  <si>
    <t>US-J1-02 provisoire (5) = 5 SP</t>
  </si>
  <si>
    <t>RELEASE 2 à 17h</t>
  </si>
  <si>
    <t>Soutenance</t>
  </si>
  <si>
    <t>Vendredi</t>
  </si>
  <si>
    <t>Selon planning</t>
  </si>
  <si>
    <t>Pitch 15 min + démo des parcours Léa et Mme Lefèvre + résultats des perturbations + retour réflexif + Q/R jury.</t>
  </si>
  <si>
    <t>Soutenance + délibération</t>
  </si>
  <si>
    <t>SYNTHÈSE DU PÉRIMÈTRE ENGAGÉ</t>
  </si>
  <si>
    <t>Indicateur</t>
  </si>
  <si>
    <t>Valeur</t>
  </si>
  <si>
    <t>Unité</t>
  </si>
  <si>
    <t>Lecture</t>
  </si>
  <si>
    <t>Le planning trace désormais les deux parcours finaux. Les actions « exporter un quiz en Word/PDF » et « envoyer un conseil ciblé » apparaissent dans la Customer Journey enseignante, mais ne sont pas engagées : elles doivent d'abord devenir des User Stories officielles avec priorité, critères d'acceptation et estimation. Les stories J1 de détection et de progression restent provisoires jusqu'à régularisation du Backlog.</t>
  </si>
  <si>
    <t>Capacité totale</t>
  </si>
  <si>
    <t>h-pers</t>
  </si>
  <si>
    <t>Hypothèse 7 personnes sans absence</t>
  </si>
  <si>
    <t>SP Release 1</t>
  </si>
  <si>
    <t>MVP étudiant + premier flux enseignant</t>
  </si>
  <si>
    <t>SP Release 2</t>
  </si>
  <si>
    <t>Détection + progression enseignant</t>
  </si>
  <si>
    <t>SP total engagés</t>
  </si>
  <si>
    <t>Dans la cible du template (~50-60 SP)</t>
  </si>
  <si>
    <t>Marge fonctionnelle</t>
  </si>
  <si>
    <t>60 SP - scope engagé</t>
  </si>
  <si>
    <t>BURNUP GLOBAL : SEMAINE APOCAL'IPSSI 2026</t>
  </si>
  <si>
    <t>SP livrés cumulés vs scope engagé post-J1. La colonne « Réel » est à renseigner après chaque Sprint Review.</t>
  </si>
  <si>
    <t>Fin de sprint</t>
  </si>
  <si>
    <t>SP planifiés
sur le sprint</t>
  </si>
  <si>
    <t>SP livrés cumulés
(idéal)</t>
  </si>
  <si>
    <t>SP livrés cumulés
(réel)</t>
  </si>
  <si>
    <t>Scope total</t>
  </si>
  <si>
    <t>Sprint 0</t>
  </si>
  <si>
    <t>Lun 13h30</t>
  </si>
  <si>
    <t>Lun 18h</t>
  </si>
  <si>
    <t>Mar 12h30</t>
  </si>
  <si>
    <t>Mar 18h</t>
  </si>
  <si>
    <t>Mer 12h30</t>
  </si>
  <si>
    <t>Mer 18h</t>
  </si>
  <si>
    <t>Jeu 12h30</t>
  </si>
  <si>
    <t>Jeu 17h</t>
  </si>
  <si>
    <t>Lecture : la trajectoire idéale atteint 41 SP à la fin du Sprint 5 (Release 1) et 51 SP à la fin du Sprint 7 (Release 2). Toute hausse liée à une perturbation doit être reportée dans « Scope total » ; toute baisse de vélocité doit apparaître dans « Réel ».</t>
  </si>
  <si>
    <t>GRILLE D'AUTO-ÉVALUATION</t>
  </si>
  <si>
    <t>Critère qualité</t>
  </si>
  <si>
    <t>Auto-évaluation</t>
  </si>
  <si>
    <t>Commentaire / preuve</t>
  </si>
  <si>
    <t>Action restante</t>
  </si>
  <si>
    <t>Les 7 sprints sont planifiés avec jour, horaires et capacité chiffrée.</t>
  </si>
  <si>
    <t>Oui</t>
  </si>
  <si>
    <t>Feuille 02_Release_Planning</t>
  </si>
  <si>
    <t>La taille de l'équipe est explicite (7 personnes).</t>
  </si>
  <si>
    <t>Feuille 01_Identification</t>
  </si>
  <si>
    <t>Confirmer les absences.</t>
  </si>
  <si>
    <t>Chaque sprint a un objectif clair, mesurable et démontrable.</t>
  </si>
  <si>
    <t>Objectifs décrits sprint par sprint.</t>
  </si>
  <si>
    <t>Les parcours Léa Martin et Mme Lefèvre de la Customer Journey finale sont tracés dans les releases.</t>
  </si>
  <si>
    <t>Feuilles 02 et 06.</t>
  </si>
  <si>
    <t>Chaque sprint liste au moins une story engagée.</t>
  </si>
  <si>
    <t>Partiel</t>
  </si>
  <si>
    <t>S6/S7 utilisent des IDs provisoires J1.</t>
  </si>
  <si>
    <t>Créer les stories officielles dans le backlog.</t>
  </si>
  <si>
    <t>La Release 1 est positionnée à la fin du Sprint 5.</t>
  </si>
  <si>
    <t>41 SP cumulés.</t>
  </si>
  <si>
    <t>La Release 2 est positionnée à la fin du Sprint 7.</t>
  </si>
  <si>
    <t>51 SP cumulés.</t>
  </si>
  <si>
    <t>Les perturbations J1, J2, J3, J3-bis et J4 sont positionnées.</t>
  </si>
  <si>
    <t>J1 au cadrage ; autres dans les jalons.</t>
  </si>
  <si>
    <t>Le Burnup contient un scope initial chiffré.</t>
  </si>
  <si>
    <t>Scope post-J1 = 51 SP.</t>
  </si>
  <si>
    <t>Renseigner le réel après chaque review.</t>
  </si>
  <si>
    <t>Le Release Planning a été co-construit et validé par le PO.</t>
  </si>
  <si>
    <t>Non</t>
  </si>
  <si>
    <t>Document encore en Draft.</t>
  </si>
  <si>
    <t>Revue équipe + validation PO.</t>
  </si>
  <si>
    <t>ÉCARTS À RÉGULARISER AVANT VALIDATION PO</t>
  </si>
  <si>
    <t>Priorité</t>
  </si>
  <si>
    <t>Écart constaté</t>
  </si>
  <si>
    <t>Pourquoi c'est important</t>
  </si>
  <si>
    <t>Action attendue</t>
  </si>
  <si>
    <t>Impact planning</t>
  </si>
  <si>
    <t>Haute</t>
  </si>
  <si>
    <t>US-07 est SHOULD dans le Product Backlog, mais la Story Map classe la réinitialisation du mot de passe en MUST.</t>
  </si>
  <si>
    <t>La priorité modifie la Release 1.</t>
  </si>
  <si>
    <t>Faire arbitrer le PO ; ce planning la traite comme MUST.</t>
  </si>
  <si>
    <t>S3 = 9 SP.</t>
  </si>
  <si>
    <t>US-21 et US-23 sont MUST dans le Backlog, alors que le persona et la Story Map recommandent la cible enseignante en SHOULD.</t>
  </si>
  <si>
    <t>Risque de surcharger la Release 1.</t>
  </si>
  <si>
    <t>Aligner MoSCoW dans le Backlog et la note de décision J1.</t>
  </si>
  <si>
    <t>Ce planning ne compte pas US-23 séparément.</t>
  </si>
  <si>
    <t>Les stories de détection des étudiants en difficulté et de suivi individuel n'ont pas d'ID officiel, de SP validés ni de critères d'acceptation.</t>
  </si>
  <si>
    <t>Le Release Planning exige une traçabilité US-XX.</t>
  </si>
  <si>
    <t>Créer US-J1-01 et US-J1-02 ; confirmer 5 SP chacune.</t>
  </si>
  <si>
    <t>S6 et S7 restent provisoires.</t>
  </si>
  <si>
    <t>La Customer Journey finale fixe une règle concrète de décrochage : score &lt; 5/10 sur 2 quiz consécutifs.</t>
  </si>
  <si>
    <t>Cette règle doit devenir testable et non rester seulement narrative.</t>
  </si>
  <si>
    <t>L'ajouter aux critères Given/When/Then de la story de détection.</t>
  </si>
  <si>
    <t>Pas de changement de SP estimé.</t>
  </si>
  <si>
    <t>Moyenne</t>
  </si>
  <si>
    <t>Le mécanisme de classe (création, rattachement des 28 étudiants et droits d'accès) n'est pas complètement décrit.</t>
  </si>
  <si>
    <t>US-22 dépend d'une relation enseignant-classe-étudiant et d'autorisations fiables.</t>
  </si>
  <si>
    <t>Ajouter dépendances, modèle de données et critères d'autorisation.</t>
  </si>
  <si>
    <t>Peut augmenter le scope de 3 à 8 SP.</t>
  </si>
  <si>
    <t>La Customer Journey enseignante inclut l'export Word/PDF, mais cette capacité n'est pas formalisée dans le Backlog.</t>
  </si>
  <si>
    <t>Une action du parcours ne doit pas apparaître implicitement comme engagée.</t>
  </si>
  <si>
    <t>Créer une story COULD ou déclarer explicitement l'export hors scope.</t>
  </si>
  <si>
    <t>Non engagé dans les 51 SP.</t>
  </si>
  <si>
    <t>La Customer Journey enseignante inclut l'envoi de conseils ciblés ; la Story Map le classe COULD.</t>
  </si>
  <si>
    <t>La fidélisation est décrite, mais pas couverte par le scope engagé.</t>
  </si>
  <si>
    <t>Créer une story officielle et la conserver en stretch goal Release 2.</t>
  </si>
  <si>
    <t>Le réseau 4G partagé et la tolérance quasi nulle aux pannes sont des exigences non fonctionnelles.</t>
  </si>
  <si>
    <t>Le dashboard peut être fonctionnel mais inutilisable en classe s'il est lent.</t>
  </si>
  <si>
    <t>Ajouter seuils de performance, loader, gestion d'erreur et test réseau dégradé.</t>
  </si>
  <si>
    <t>Réserver de la capacité technique en S5/S7.</t>
  </si>
  <si>
    <t>US-23 « correction automatique enseignant » recouvre largement US-04/US-05.</t>
  </si>
  <si>
    <t>Risque de double comptage.</t>
  </si>
  <si>
    <t>Supprimer, fusionner ou réécrire US-23.</t>
  </si>
  <si>
    <t>Non planifiée séparément.</t>
  </si>
  <si>
    <t>Les travaux J2/J3/J4 ne sont pas estimés dans le Backlog.</t>
  </si>
  <si>
    <t>Ils consomment de la capacité réelle.</t>
  </si>
  <si>
    <t>Créer des spikes/tâches techniques et réserver la capacité.</t>
  </si>
  <si>
    <t>Réduit la marge sans augmenter les SP fonctionnels.</t>
  </si>
  <si>
    <t>Basse</t>
  </si>
  <si>
    <t>La capacité théorique suppose 7 personnes disponibles sur toute la semaine.</t>
  </si>
  <si>
    <t>Toute absence réduit les 203 h-pers.</t>
  </si>
  <si>
    <t>Confirmer les disponibilités au Daily / Sprint Planning.</t>
  </si>
  <si>
    <t>Replanification si écart significatif.</t>
  </si>
  <si>
    <t>TRAÇABILITÉ CUSTOMER JOURNEY → RELEASE PLANNING</t>
  </si>
  <si>
    <t>Vérification que les étapes des parcours finaux de Léa Martin et Mme Sophie Lefèvre sont couvertes, reportées ou explicitement hors engagement.</t>
  </si>
  <si>
    <t>Persona</t>
  </si>
  <si>
    <t>Étape du parcours</t>
  </si>
  <si>
    <t>Besoin / action clé</t>
  </si>
  <si>
    <t>Story / périmètre</t>
  </si>
  <si>
    <t>Observation</t>
  </si>
  <si>
    <t>Léa Martin</t>
  </si>
  <si>
    <t>Inscription</t>
  </si>
  <si>
    <t>Créer un compte et valider l'accès</t>
  </si>
  <si>
    <t>US-01</t>
  </si>
  <si>
    <t>S1</t>
  </si>
  <si>
    <t>Engagé</t>
  </si>
  <si>
    <t>Première entrée dans le produit.</t>
  </si>
  <si>
    <t>Première utilisation</t>
  </si>
  <si>
    <t>Importer PDF ≤ 5 Mo ou texte ≥ 200 caractères</t>
  </si>
  <si>
    <t>US-02</t>
  </si>
  <si>
    <t>Précondition de la génération.</t>
  </si>
  <si>
    <t>Générer 10 QCM depuis son propre cours</t>
  </si>
  <si>
    <t>US-03</t>
  </si>
  <si>
    <t>S2</t>
  </si>
  <si>
    <t>Latence traitée par J2.</t>
  </si>
  <si>
    <t>Répondre, soumettre et voir les corrections</t>
  </si>
  <si>
    <t>US-04 / US-05</t>
  </si>
  <si>
    <t>S3</t>
  </si>
  <si>
    <t>Cœur du MVP étudiant.</t>
  </si>
  <si>
    <t>Utilisation régulière</t>
  </si>
  <si>
    <t>Consulter l'historique des quiz</t>
  </si>
  <si>
    <t>US-06</t>
  </si>
  <si>
    <t>S5</t>
  </si>
  <si>
    <t>Progression minimale.</t>
  </si>
  <si>
    <t>Dashboard avancé et révision ciblée</t>
  </si>
  <si>
    <t>US-11 / US-16</t>
  </si>
  <si>
    <t>Après R2</t>
  </si>
  <si>
    <t>Reporté</t>
  </si>
  <si>
    <t>Non inclus dans les 51 SP.</t>
  </si>
  <si>
    <t>Mme Lefèvre</t>
  </si>
  <si>
    <t>Découverte</t>
  </si>
  <si>
    <t>Comprendre la valeur, la simplicité et la conformité RGPD</t>
  </si>
  <si>
    <t>NFR / documentation</t>
  </si>
  <si>
    <t>Cadrage + S5</t>
  </si>
  <si>
    <t>Preuves RGPD à rendre visibles.</t>
  </si>
  <si>
    <t>Adoption</t>
  </si>
  <si>
    <t>Créer et partager un quiz à la classe</t>
  </si>
  <si>
    <t>US-21</t>
  </si>
  <si>
    <t>S4</t>
  </si>
  <si>
    <t>Premier usage enseignant.</t>
  </si>
  <si>
    <t>Utilisation hebdomadaire</t>
  </si>
  <si>
    <t>Voir les résultats et trier les 28 étudiants</t>
  </si>
  <si>
    <t>US-22</t>
  </si>
  <si>
    <t>Dashboard de classe.</t>
  </si>
  <si>
    <t>Satisfaction</t>
  </si>
  <si>
    <t>Repérer &lt;5/10 sur 2 quiz consécutifs</t>
  </si>
  <si>
    <t>US-J1-01 provisoire</t>
  </si>
  <si>
    <t>S6</t>
  </si>
  <si>
    <t>Engagé provisoire</t>
  </si>
  <si>
    <t>Critères à officialiser.</t>
  </si>
  <si>
    <t>Fidélisation</t>
  </si>
  <si>
    <t>Suivre la progression individuelle</t>
  </si>
  <si>
    <t>US-J1-02 provisoire</t>
  </si>
  <si>
    <t>S7</t>
  </si>
  <si>
    <t>Envoyer un conseil personnalisé</t>
  </si>
  <si>
    <t>COULD non numéroté</t>
  </si>
  <si>
    <t>Après R2 / stretch</t>
  </si>
  <si>
    <t>Non engagé</t>
  </si>
  <si>
    <t>Créer une US officielle.</t>
  </si>
  <si>
    <t>Exporter le quiz en Word/PDF</t>
  </si>
  <si>
    <t>Non présent au backlog</t>
  </si>
  <si>
    <t>À arbitrer</t>
  </si>
  <si>
    <t>Créer une US ou déclarer hors scope.</t>
  </si>
  <si>
    <t>Satisfaction / frustration</t>
  </si>
  <si>
    <t>Dashboard utilisable en réseau 4G dégradé</t>
  </si>
  <si>
    <t>NFR performance</t>
  </si>
  <si>
    <t>S5 / S7</t>
  </si>
  <si>
    <t>À intégrer</t>
  </si>
  <si>
    <t>Ajouter seuils et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</si>
</sst>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172554"/>
      <name val="Carlito"/>
    </font>
    <font>
      <sz val="11"/>
      <color rgb="FF64748B"/>
      <name val="Carlito"/>
    </font>
    <font>
      <sz val="11"/>
      <color rgb="FF0F172A"/>
      <name val="Carlito"/>
    </font>
    <font>
      <i/>
      <sz val="11"/>
      <color rgb="FF172554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EFF6FF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172554"/>
      </patternFill>
    </fill>
    <fill>
      <patternFill patternType="solid">
        <fgColor rgb="FFEFF6FF"/>
      </patternFill>
    </fill>
  </fills>
  <borders count="1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164" fontId="4" fillId="0" borderId="4" xfId="0" applyNumberFormat="1" applyFont="1" applyBorder="1" applyAlignment="1">
      <alignment vertical="top" wrapText="1"/>
    </xf>
    <xf numFmtId="164" fontId="4" fillId="0" borderId="7" xfId="0" applyNumberFormat="1" applyFont="1" applyBorder="1" applyAlignment="1">
      <alignment vertical="top" wrapText="1"/>
    </xf>
    <xf numFmtId="164" fontId="4" fillId="0" borderId="9" xfId="0" applyNumberFormat="1" applyFont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1" fillId="8" borderId="15" xfId="0" applyFont="1" applyFill="1" applyBorder="1" applyAlignment="1">
      <alignment vertical="top" wrapText="1"/>
    </xf>
    <xf numFmtId="0" fontId="4" fillId="7" borderId="9" xfId="0" applyFont="1" applyFill="1" applyBorder="1" applyAlignment="1">
      <alignment vertical="top" wrapText="1"/>
    </xf>
    <xf numFmtId="0" fontId="4" fillId="7" borderId="10" xfId="0" applyFont="1" applyFill="1" applyBorder="1" applyAlignment="1">
      <alignment vertical="top" wrapText="1"/>
    </xf>
    <xf numFmtId="0" fontId="4" fillId="7" borderId="11" xfId="0" applyFont="1" applyFill="1" applyBorder="1" applyAlignment="1">
      <alignment vertical="top" wrapText="1"/>
    </xf>
    <xf numFmtId="164" fontId="4" fillId="0" borderId="5" xfId="0" applyNumberFormat="1" applyFont="1" applyBorder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4" fillId="0" borderId="10" xfId="0" applyNumberFormat="1" applyFont="1" applyBorder="1" applyAlignment="1">
      <alignment vertical="top" wrapText="1"/>
    </xf>
    <xf numFmtId="1" fontId="4" fillId="0" borderId="5" xfId="0" applyNumberFormat="1" applyFont="1" applyBorder="1" applyAlignment="1">
      <alignment vertical="top" wrapText="1"/>
    </xf>
    <xf numFmtId="1" fontId="4" fillId="3" borderId="5" xfId="0" applyNumberFormat="1" applyFont="1" applyFill="1" applyBorder="1" applyAlignment="1">
      <alignment vertical="top" wrapText="1"/>
    </xf>
    <xf numFmtId="1" fontId="4" fillId="0" borderId="6" xfId="0" applyNumberFormat="1" applyFont="1" applyBorder="1" applyAlignment="1">
      <alignment vertical="top" wrapText="1"/>
    </xf>
    <xf numFmtId="1" fontId="4" fillId="0" borderId="0" xfId="0" applyNumberFormat="1" applyFont="1" applyAlignment="1">
      <alignment vertical="top" wrapText="1"/>
    </xf>
    <xf numFmtId="1" fontId="4" fillId="3" borderId="0" xfId="0" applyNumberFormat="1" applyFont="1" applyFill="1" applyAlignment="1">
      <alignment vertical="top" wrapText="1"/>
    </xf>
    <xf numFmtId="1" fontId="4" fillId="0" borderId="8" xfId="0" applyNumberFormat="1" applyFont="1" applyBorder="1" applyAlignment="1">
      <alignment vertical="top" wrapText="1"/>
    </xf>
    <xf numFmtId="1" fontId="4" fillId="0" borderId="10" xfId="0" applyNumberFormat="1" applyFont="1" applyBorder="1" applyAlignment="1">
      <alignment vertical="top" wrapText="1"/>
    </xf>
    <xf numFmtId="1" fontId="4" fillId="3" borderId="10" xfId="0" applyNumberFormat="1" applyFont="1" applyFill="1" applyBorder="1" applyAlignment="1">
      <alignment vertical="top" wrapText="1"/>
    </xf>
    <xf numFmtId="1" fontId="4" fillId="0" borderId="11" xfId="0" applyNumberFormat="1" applyFont="1" applyBorder="1" applyAlignment="1">
      <alignment vertical="top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4" fillId="9" borderId="4" xfId="0" applyFont="1" applyFill="1" applyBorder="1" applyAlignment="1">
      <alignment vertical="top" wrapText="1"/>
    </xf>
    <xf numFmtId="0" fontId="4" fillId="9" borderId="5" xfId="0" applyFont="1" applyFill="1" applyBorder="1" applyAlignment="1">
      <alignment vertical="top" wrapText="1"/>
    </xf>
    <xf numFmtId="0" fontId="4" fillId="9" borderId="6" xfId="0" applyFont="1" applyFill="1" applyBorder="1" applyAlignment="1">
      <alignment vertical="top" wrapText="1"/>
    </xf>
    <xf numFmtId="0" fontId="4" fillId="9" borderId="7" xfId="0" applyFont="1" applyFill="1" applyBorder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9" borderId="8" xfId="0" applyFont="1" applyFill="1" applyBorder="1" applyAlignment="1">
      <alignment vertical="top" wrapText="1"/>
    </xf>
    <xf numFmtId="0" fontId="4" fillId="9" borderId="9" xfId="0" applyFont="1" applyFill="1" applyBorder="1" applyAlignment="1">
      <alignment vertical="top" wrapText="1"/>
    </xf>
    <xf numFmtId="0" fontId="4" fillId="9" borderId="10" xfId="0" applyFont="1" applyFill="1" applyBorder="1" applyAlignment="1">
      <alignment vertical="top" wrapText="1"/>
    </xf>
    <xf numFmtId="0" fontId="4" fillId="9" borderId="11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5" fillId="7" borderId="0" xfId="0" applyFont="1" applyFill="1" applyAlignment="1">
      <alignment horizontal="left" vertical="center"/>
    </xf>
    <xf numFmtId="0" fontId="4" fillId="10" borderId="4" xfId="0" applyFont="1" applyFill="1" applyBorder="1" applyAlignment="1">
      <alignment vertical="top" wrapText="1"/>
    </xf>
    <xf numFmtId="0" fontId="4" fillId="10" borderId="5" xfId="0" applyFont="1" applyFill="1" applyBorder="1" applyAlignment="1">
      <alignment vertical="top" wrapText="1"/>
    </xf>
    <xf numFmtId="0" fontId="4" fillId="10" borderId="6" xfId="0" applyFont="1" applyFill="1" applyBorder="1" applyAlignment="1">
      <alignment vertical="top" wrapText="1"/>
    </xf>
    <xf numFmtId="0" fontId="4" fillId="10" borderId="7" xfId="0" applyFont="1" applyFill="1" applyBorder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4" fillId="10" borderId="8" xfId="0" applyFont="1" applyFill="1" applyBorder="1" applyAlignment="1">
      <alignment vertical="top" wrapText="1"/>
    </xf>
    <xf numFmtId="0" fontId="4" fillId="10" borderId="9" xfId="0" applyFont="1" applyFill="1" applyBorder="1" applyAlignment="1">
      <alignment vertical="top" wrapText="1"/>
    </xf>
    <xf numFmtId="0" fontId="4" fillId="10" borderId="10" xfId="0" applyFont="1" applyFill="1" applyBorder="1" applyAlignment="1">
      <alignment vertical="top" wrapText="1"/>
    </xf>
    <xf numFmtId="0" fontId="4" fillId="10" borderId="11" xfId="0" applyFont="1" applyFill="1" applyBorder="1" applyAlignment="1">
      <alignment vertical="top" wrapText="1"/>
    </xf>
    <xf numFmtId="0" fontId="5" fillId="7" borderId="0" xfId="0" applyFont="1" applyFill="1"/>
    <xf numFmtId="0" fontId="4" fillId="6" borderId="4" xfId="0" applyFont="1" applyFill="1" applyBorder="1" applyAlignment="1">
      <alignment vertical="top" wrapText="1"/>
    </xf>
    <xf numFmtId="0" fontId="4" fillId="6" borderId="5" xfId="0" applyFont="1" applyFill="1" applyBorder="1" applyAlignment="1">
      <alignment vertical="top" wrapText="1"/>
    </xf>
    <xf numFmtId="0" fontId="4" fillId="6" borderId="6" xfId="0" applyFont="1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6" borderId="8" xfId="0" applyFont="1" applyFill="1" applyBorder="1" applyAlignment="1">
      <alignment vertical="top" wrapText="1"/>
    </xf>
    <xf numFmtId="0" fontId="4" fillId="6" borderId="9" xfId="0" applyFont="1" applyFill="1" applyBorder="1" applyAlignment="1">
      <alignment vertical="top" wrapText="1"/>
    </xf>
    <xf numFmtId="0" fontId="4" fillId="6" borderId="10" xfId="0" applyFont="1" applyFill="1" applyBorder="1" applyAlignment="1">
      <alignment vertical="top" wrapText="1"/>
    </xf>
    <xf numFmtId="0" fontId="4" fillId="6" borderId="11" xfId="0" applyFont="1" applyFill="1" applyBorder="1" applyAlignment="1">
      <alignment vertical="top" wrapText="1"/>
    </xf>
    <xf numFmtId="0" fontId="1" fillId="11" borderId="0" xfId="0" applyFont="1" applyFill="1" applyAlignment="1">
      <alignment horizontal="left" vertical="center"/>
    </xf>
    <xf numFmtId="0" fontId="5" fillId="12" borderId="0" xfId="0" applyFont="1" applyFill="1" applyAlignment="1">
      <alignment wrapText="1"/>
    </xf>
  </cellXfs>
  <cellStyles count="1">
    <cellStyle name="Normal" xfId="0" builtinId="0"/>
  </cellStyles>
  <dxfs count="18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DC2626"/>
      </font>
      <fill>
        <patternFill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DC2626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A34A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Burnup - Idéal / Réel / Scope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 planifiés
sur le sprint</c:v>
          </c:tx>
          <c:cat>
            <c:strRef>
              <c:f>'03_Burnup'!$B$6:$B$13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'03_Burnup'!$C$6:$C$13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6-4497-8FAC-FA292D681DC2}"/>
            </c:ext>
          </c:extLst>
        </c:ser>
        <c:ser>
          <c:idx val="1"/>
          <c:order val="1"/>
          <c:tx>
            <c:v>SP livrés cumulés
(idéal)</c:v>
          </c:tx>
          <c:cat>
            <c:strRef>
              <c:f>'03_Burnup'!$B$6:$B$13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'03_Burnup'!$D$6:$D$13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25</c:v>
                </c:pt>
                <c:pt idx="4">
                  <c:v>33</c:v>
                </c:pt>
                <c:pt idx="5">
                  <c:v>41</c:v>
                </c:pt>
                <c:pt idx="6">
                  <c:v>46</c:v>
                </c:pt>
                <c:pt idx="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6-4497-8FAC-FA292D681DC2}"/>
            </c:ext>
          </c:extLst>
        </c:ser>
        <c:ser>
          <c:idx val="2"/>
          <c:order val="2"/>
          <c:tx>
            <c:v>SP livrés cumulés
(réel)</c:v>
          </c:tx>
          <c:cat>
            <c:strRef>
              <c:f>'03_Burnup'!$B$6:$B$13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'03_Burnup'!$E$6:$E$13</c:f>
              <c:numCache>
                <c:formatCode>0</c:formatCode>
                <c:ptCount val="8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6-4497-8FAC-FA292D681DC2}"/>
            </c:ext>
          </c:extLst>
        </c:ser>
        <c:ser>
          <c:idx val="3"/>
          <c:order val="3"/>
          <c:tx>
            <c:v>Scope total</c:v>
          </c:tx>
          <c:cat>
            <c:strRef>
              <c:f>'03_Burnup'!$B$6:$B$13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'03_Burnup'!$F$6:$F$13</c:f>
              <c:numCache>
                <c:formatCode>0</c:formatCode>
                <c:ptCount val="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6-4497-8FAC-FA292D681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1"/>
  <sheetViews>
    <sheetView tabSelected="1" workbookViewId="0">
      <selection activeCell="B15" sqref="B15:H17"/>
    </sheetView>
  </sheetViews>
  <sheetFormatPr baseColWidth="10" defaultColWidth="9" defaultRowHeight="14.25"/>
  <cols>
    <col min="1" max="1" width="3" customWidth="1"/>
    <col min="2" max="8" width="15" customWidth="1"/>
  </cols>
  <sheetData>
    <row r="1" spans="2:8" ht="21.95" customHeight="1"/>
    <row r="2" spans="2:8" ht="21.95" customHeight="1"/>
    <row r="3" spans="2:8" ht="21.95" customHeight="1">
      <c r="B3" s="46" t="s">
        <v>0</v>
      </c>
      <c r="C3" s="46"/>
      <c r="D3" s="46"/>
      <c r="E3" s="46"/>
      <c r="F3" s="46"/>
      <c r="G3" s="46"/>
      <c r="H3" s="46"/>
    </row>
    <row r="4" spans="2:8" ht="21.95" customHeight="1">
      <c r="B4" s="46"/>
      <c r="C4" s="46"/>
      <c r="D4" s="46"/>
      <c r="E4" s="46"/>
      <c r="F4" s="46"/>
      <c r="G4" s="46"/>
      <c r="H4" s="46"/>
    </row>
    <row r="5" spans="2:8" ht="21.95" customHeight="1">
      <c r="B5" s="46"/>
      <c r="C5" s="46"/>
      <c r="D5" s="46"/>
      <c r="E5" s="46"/>
      <c r="F5" s="46"/>
      <c r="G5" s="46"/>
      <c r="H5" s="46"/>
    </row>
    <row r="6" spans="2:8" ht="21.95" customHeight="1"/>
    <row r="7" spans="2:8" ht="21.95" customHeight="1">
      <c r="B7" s="47" t="s">
        <v>1</v>
      </c>
      <c r="C7" s="47"/>
      <c r="D7" s="47"/>
      <c r="E7" s="47"/>
      <c r="F7" s="47"/>
      <c r="G7" s="47"/>
      <c r="H7" s="47"/>
    </row>
    <row r="8" spans="2:8" ht="21.95" customHeight="1">
      <c r="B8" s="47"/>
      <c r="C8" s="47"/>
      <c r="D8" s="47"/>
      <c r="E8" s="47"/>
      <c r="F8" s="47"/>
      <c r="G8" s="47"/>
      <c r="H8" s="47"/>
    </row>
    <row r="9" spans="2:8" ht="21.95" customHeight="1">
      <c r="B9" s="48" t="s">
        <v>2</v>
      </c>
      <c r="C9" s="48" t="s">
        <v>2</v>
      </c>
      <c r="D9" s="48" t="s">
        <v>2</v>
      </c>
      <c r="E9" s="48" t="s">
        <v>2</v>
      </c>
      <c r="F9" s="48" t="s">
        <v>2</v>
      </c>
      <c r="G9" s="48" t="s">
        <v>2</v>
      </c>
      <c r="H9" s="48" t="s">
        <v>2</v>
      </c>
    </row>
    <row r="10" spans="2:8" ht="21.95" customHeight="1">
      <c r="B10" s="48" t="s">
        <v>2</v>
      </c>
      <c r="C10" s="48" t="s">
        <v>2</v>
      </c>
      <c r="D10" s="48" t="s">
        <v>2</v>
      </c>
      <c r="E10" s="48" t="s">
        <v>2</v>
      </c>
      <c r="F10" s="48" t="s">
        <v>2</v>
      </c>
      <c r="G10" s="48" t="s">
        <v>2</v>
      </c>
      <c r="H10" s="48" t="s">
        <v>2</v>
      </c>
    </row>
    <row r="11" spans="2:8" ht="21.95" customHeight="1"/>
    <row r="12" spans="2:8" ht="21.95" customHeight="1">
      <c r="B12" s="49" t="s">
        <v>3</v>
      </c>
      <c r="C12" s="49"/>
      <c r="D12" s="49"/>
      <c r="E12" s="49"/>
      <c r="F12" s="49"/>
      <c r="G12" s="49"/>
      <c r="H12" s="49"/>
    </row>
    <row r="13" spans="2:8" ht="21.95" customHeight="1"/>
    <row r="14" spans="2:8" ht="21.95" customHeight="1"/>
    <row r="15" spans="2:8" ht="21.95" customHeight="1">
      <c r="B15" s="50" t="s">
        <v>4</v>
      </c>
      <c r="C15" s="50" t="s">
        <v>4</v>
      </c>
      <c r="D15" s="50" t="s">
        <v>4</v>
      </c>
      <c r="E15" s="50" t="s">
        <v>4</v>
      </c>
      <c r="F15" s="50" t="s">
        <v>4</v>
      </c>
      <c r="G15" s="50" t="s">
        <v>4</v>
      </c>
      <c r="H15" s="50" t="s">
        <v>4</v>
      </c>
    </row>
    <row r="16" spans="2:8" ht="21.95" customHeight="1">
      <c r="B16" s="50" t="s">
        <v>4</v>
      </c>
      <c r="C16" s="50" t="s">
        <v>4</v>
      </c>
      <c r="D16" s="50" t="s">
        <v>4</v>
      </c>
      <c r="E16" s="50" t="s">
        <v>4</v>
      </c>
      <c r="F16" s="50" t="s">
        <v>4</v>
      </c>
      <c r="G16" s="50" t="s">
        <v>4</v>
      </c>
      <c r="H16" s="50" t="s">
        <v>4</v>
      </c>
    </row>
    <row r="17" spans="2:8" ht="21.95" customHeight="1">
      <c r="B17" s="50" t="s">
        <v>4</v>
      </c>
      <c r="C17" s="50" t="s">
        <v>4</v>
      </c>
      <c r="D17" s="50" t="s">
        <v>4</v>
      </c>
      <c r="E17" s="50" t="s">
        <v>4</v>
      </c>
      <c r="F17" s="50" t="s">
        <v>4</v>
      </c>
      <c r="G17" s="50" t="s">
        <v>4</v>
      </c>
      <c r="H17" s="50" t="s">
        <v>4</v>
      </c>
    </row>
    <row r="18" spans="2:8" ht="21.95" customHeight="1"/>
    <row r="19" spans="2:8" ht="21.95" customHeight="1"/>
    <row r="20" spans="2:8" ht="21.95" customHeight="1"/>
    <row r="21" spans="2:8" ht="21.95" customHeight="1"/>
  </sheetData>
  <mergeCells count="5">
    <mergeCell ref="B3:H5"/>
    <mergeCell ref="B7:H8"/>
    <mergeCell ref="B9:H10"/>
    <mergeCell ref="B12:H12"/>
    <mergeCell ref="B15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E17" sqref="E17:H21"/>
    </sheetView>
  </sheetViews>
  <sheetFormatPr baseColWidth="10" defaultColWidth="9" defaultRowHeight="14.25"/>
  <cols>
    <col min="1" max="1" width="25" customWidth="1"/>
    <col min="2" max="2" width="55" customWidth="1"/>
    <col min="3" max="4" width="12" customWidth="1"/>
    <col min="5" max="8" width="16" customWidth="1"/>
  </cols>
  <sheetData>
    <row r="1" spans="1:8">
      <c r="A1" s="51" t="s">
        <v>5</v>
      </c>
      <c r="B1" s="51"/>
      <c r="C1" s="51"/>
      <c r="D1" s="51"/>
      <c r="E1" s="51"/>
      <c r="F1" s="51"/>
      <c r="G1" s="51"/>
      <c r="H1" s="51"/>
    </row>
    <row r="2" spans="1:8">
      <c r="A2" s="51"/>
      <c r="B2" s="51"/>
      <c r="C2" s="51"/>
      <c r="D2" s="51"/>
      <c r="E2" s="51"/>
      <c r="F2" s="51"/>
      <c r="G2" s="51"/>
      <c r="H2" s="51"/>
    </row>
    <row r="4" spans="1:8" ht="30" customHeight="1">
      <c r="A4" s="1" t="s">
        <v>6</v>
      </c>
      <c r="B4" s="4" t="s">
        <v>7</v>
      </c>
    </row>
    <row r="5" spans="1:8" ht="30" customHeight="1">
      <c r="A5" s="2" t="s">
        <v>8</v>
      </c>
      <c r="B5" s="5" t="s">
        <v>9</v>
      </c>
    </row>
    <row r="6" spans="1:8" ht="30" customHeight="1">
      <c r="A6" s="2" t="s">
        <v>10</v>
      </c>
      <c r="B6" s="5" t="s">
        <v>11</v>
      </c>
    </row>
    <row r="7" spans="1:8" ht="30" customHeight="1">
      <c r="A7" s="2" t="s">
        <v>12</v>
      </c>
      <c r="B7" s="5" t="s">
        <v>13</v>
      </c>
    </row>
    <row r="8" spans="1:8" ht="30" customHeight="1">
      <c r="A8" s="2" t="s">
        <v>14</v>
      </c>
      <c r="B8" s="5" t="s">
        <v>15</v>
      </c>
    </row>
    <row r="9" spans="1:8" ht="30" customHeight="1">
      <c r="A9" s="3" t="s">
        <v>16</v>
      </c>
      <c r="B9" s="6" t="s">
        <v>17</v>
      </c>
    </row>
    <row r="11" spans="1:8" ht="15">
      <c r="A11" s="52" t="s">
        <v>18</v>
      </c>
      <c r="B11" s="52"/>
      <c r="C11" s="52"/>
      <c r="D11" s="52"/>
      <c r="E11" s="52"/>
      <c r="F11" s="52"/>
      <c r="G11" s="52"/>
      <c r="H11" s="52"/>
    </row>
    <row r="12" spans="1:8">
      <c r="A12" s="53" t="s">
        <v>19</v>
      </c>
      <c r="B12" s="54" t="s">
        <v>19</v>
      </c>
      <c r="C12" s="54" t="s">
        <v>19</v>
      </c>
      <c r="D12" s="54" t="s">
        <v>19</v>
      </c>
      <c r="E12" s="54" t="s">
        <v>19</v>
      </c>
      <c r="F12" s="54" t="s">
        <v>19</v>
      </c>
      <c r="G12" s="54" t="s">
        <v>19</v>
      </c>
      <c r="H12" s="55" t="s">
        <v>19</v>
      </c>
    </row>
    <row r="13" spans="1:8">
      <c r="A13" s="56" t="s">
        <v>19</v>
      </c>
      <c r="B13" s="57" t="s">
        <v>19</v>
      </c>
      <c r="C13" s="57" t="s">
        <v>19</v>
      </c>
      <c r="D13" s="57" t="s">
        <v>19</v>
      </c>
      <c r="E13" s="57" t="s">
        <v>19</v>
      </c>
      <c r="F13" s="57" t="s">
        <v>19</v>
      </c>
      <c r="G13" s="57" t="s">
        <v>19</v>
      </c>
      <c r="H13" s="58" t="s">
        <v>19</v>
      </c>
    </row>
    <row r="14" spans="1:8">
      <c r="A14" s="59" t="s">
        <v>19</v>
      </c>
      <c r="B14" s="60" t="s">
        <v>19</v>
      </c>
      <c r="C14" s="60" t="s">
        <v>19</v>
      </c>
      <c r="D14" s="60" t="s">
        <v>19</v>
      </c>
      <c r="E14" s="60" t="s">
        <v>19</v>
      </c>
      <c r="F14" s="60" t="s">
        <v>19</v>
      </c>
      <c r="G14" s="60" t="s">
        <v>19</v>
      </c>
      <c r="H14" s="61" t="s">
        <v>19</v>
      </c>
    </row>
    <row r="16" spans="1:8" ht="15">
      <c r="A16" s="52" t="s">
        <v>20</v>
      </c>
      <c r="B16" s="52"/>
      <c r="C16" s="52"/>
      <c r="D16" s="52"/>
      <c r="E16" s="52"/>
      <c r="F16" s="52"/>
      <c r="G16" s="52"/>
      <c r="H16" s="52"/>
    </row>
    <row r="17" spans="1:8" ht="15">
      <c r="A17" s="1" t="s">
        <v>21</v>
      </c>
      <c r="B17" s="15">
        <v>7</v>
      </c>
      <c r="C17" s="10" t="s">
        <v>22</v>
      </c>
      <c r="E17" s="62" t="s">
        <v>23</v>
      </c>
      <c r="F17" s="63"/>
      <c r="G17" s="63"/>
      <c r="H17" s="64"/>
    </row>
    <row r="18" spans="1:8" ht="30">
      <c r="A18" s="2" t="s">
        <v>24</v>
      </c>
      <c r="B18" s="16">
        <v>203</v>
      </c>
      <c r="C18" s="12" t="s">
        <v>25</v>
      </c>
      <c r="E18" s="65"/>
      <c r="F18" s="66"/>
      <c r="G18" s="66"/>
      <c r="H18" s="67"/>
    </row>
    <row r="19" spans="1:8" ht="15">
      <c r="A19" s="2" t="s">
        <v>26</v>
      </c>
      <c r="B19" s="16">
        <v>51</v>
      </c>
      <c r="C19" s="12" t="s">
        <v>27</v>
      </c>
      <c r="E19" s="65"/>
      <c r="F19" s="66"/>
      <c r="G19" s="66"/>
      <c r="H19" s="67"/>
    </row>
    <row r="20" spans="1:8" ht="15">
      <c r="A20" s="2" t="s">
        <v>28</v>
      </c>
      <c r="B20" s="16">
        <v>41</v>
      </c>
      <c r="C20" s="12" t="s">
        <v>27</v>
      </c>
      <c r="E20" s="65"/>
      <c r="F20" s="66"/>
      <c r="G20" s="66"/>
      <c r="H20" s="67"/>
    </row>
    <row r="21" spans="1:8" ht="15">
      <c r="A21" s="3" t="s">
        <v>29</v>
      </c>
      <c r="B21" s="17">
        <v>10</v>
      </c>
      <c r="C21" s="14" t="s">
        <v>27</v>
      </c>
      <c r="E21" s="68"/>
      <c r="F21" s="69"/>
      <c r="G21" s="69"/>
      <c r="H21" s="70"/>
    </row>
    <row r="23" spans="1:8" ht="15">
      <c r="A23" s="52" t="s">
        <v>30</v>
      </c>
      <c r="B23" s="52"/>
      <c r="C23" s="52"/>
      <c r="D23" s="52"/>
      <c r="E23" s="52"/>
      <c r="F23" s="52"/>
      <c r="G23" s="52"/>
      <c r="H23" s="52"/>
    </row>
    <row r="24" spans="1:8" ht="15">
      <c r="A24" s="1" t="s">
        <v>31</v>
      </c>
      <c r="B24" s="4" t="s">
        <v>32</v>
      </c>
    </row>
    <row r="25" spans="1:8" ht="15">
      <c r="A25" s="2" t="s">
        <v>33</v>
      </c>
      <c r="B25" s="5" t="s">
        <v>34</v>
      </c>
    </row>
    <row r="26" spans="1:8" ht="28.5">
      <c r="A26" s="2" t="s">
        <v>35</v>
      </c>
      <c r="B26" s="5" t="s">
        <v>36</v>
      </c>
    </row>
    <row r="27" spans="1:8" ht="15">
      <c r="A27" s="2" t="s">
        <v>37</v>
      </c>
      <c r="B27" s="5" t="s">
        <v>38</v>
      </c>
    </row>
    <row r="28" spans="1:8" ht="28.5">
      <c r="A28" s="3" t="s">
        <v>39</v>
      </c>
      <c r="B28" s="6" t="s">
        <v>40</v>
      </c>
    </row>
  </sheetData>
  <mergeCells count="6">
    <mergeCell ref="A23:H23"/>
    <mergeCell ref="A1:H2"/>
    <mergeCell ref="A11:H11"/>
    <mergeCell ref="A12:H14"/>
    <mergeCell ref="A16:H16"/>
    <mergeCell ref="E17:H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opLeftCell="A12" workbookViewId="0">
      <selection sqref="A1:H2"/>
    </sheetView>
  </sheetViews>
  <sheetFormatPr baseColWidth="10" defaultColWidth="9" defaultRowHeight="14.25"/>
  <cols>
    <col min="1" max="1" width="13" customWidth="1"/>
    <col min="2" max="2" width="14" customWidth="1"/>
    <col min="3" max="3" width="15" customWidth="1"/>
    <col min="4" max="4" width="12" customWidth="1"/>
    <col min="5" max="5" width="13" customWidth="1"/>
    <col min="6" max="6" width="45" customWidth="1"/>
    <col min="7" max="7" width="31" customWidth="1"/>
    <col min="8" max="8" width="28" customWidth="1"/>
  </cols>
  <sheetData>
    <row r="1" spans="1:8">
      <c r="A1" s="51" t="s">
        <v>41</v>
      </c>
      <c r="B1" s="51"/>
      <c r="C1" s="51"/>
      <c r="D1" s="51"/>
      <c r="E1" s="51"/>
      <c r="F1" s="51"/>
      <c r="G1" s="51"/>
      <c r="H1" s="51"/>
    </row>
    <row r="2" spans="1:8">
      <c r="A2" s="51"/>
      <c r="B2" s="51"/>
      <c r="C2" s="51"/>
      <c r="D2" s="51"/>
      <c r="E2" s="51"/>
      <c r="F2" s="51"/>
      <c r="G2" s="51"/>
      <c r="H2" s="51"/>
    </row>
    <row r="3" spans="1:8">
      <c r="A3" s="71" t="s">
        <v>42</v>
      </c>
      <c r="B3" s="71" t="s">
        <v>42</v>
      </c>
      <c r="C3" s="71" t="s">
        <v>42</v>
      </c>
      <c r="D3" s="71" t="s">
        <v>42</v>
      </c>
      <c r="E3" s="71" t="s">
        <v>42</v>
      </c>
      <c r="F3" s="71" t="s">
        <v>42</v>
      </c>
      <c r="G3" s="71" t="s">
        <v>42</v>
      </c>
      <c r="H3" s="71" t="s">
        <v>42</v>
      </c>
    </row>
    <row r="5" spans="1:8" ht="30">
      <c r="A5" s="21" t="s">
        <v>43</v>
      </c>
      <c r="B5" s="22" t="s">
        <v>44</v>
      </c>
      <c r="C5" s="22" t="s">
        <v>45</v>
      </c>
      <c r="D5" s="22" t="s">
        <v>46</v>
      </c>
      <c r="E5" s="22" t="s">
        <v>47</v>
      </c>
      <c r="F5" s="22" t="s">
        <v>48</v>
      </c>
      <c r="G5" s="22" t="s">
        <v>49</v>
      </c>
      <c r="H5" s="23" t="s">
        <v>50</v>
      </c>
    </row>
    <row r="6" spans="1:8" ht="72" customHeight="1">
      <c r="A6" s="18" t="s">
        <v>51</v>
      </c>
      <c r="B6" s="19" t="s">
        <v>52</v>
      </c>
      <c r="C6" s="19" t="s">
        <v>53</v>
      </c>
      <c r="D6" s="19">
        <v>24.5</v>
      </c>
      <c r="E6" s="19" t="s">
        <v>54</v>
      </c>
      <c r="F6" s="19" t="s">
        <v>55</v>
      </c>
      <c r="G6" s="19" t="s">
        <v>54</v>
      </c>
      <c r="H6" s="20" t="s">
        <v>56</v>
      </c>
    </row>
    <row r="7" spans="1:8" ht="72" customHeight="1">
      <c r="A7" s="11" t="s">
        <v>57</v>
      </c>
      <c r="B7" s="25" t="s">
        <v>58</v>
      </c>
      <c r="C7" s="25" t="s">
        <v>59</v>
      </c>
      <c r="D7" s="25">
        <v>28</v>
      </c>
      <c r="E7" s="25" t="s">
        <v>60</v>
      </c>
      <c r="F7" s="25" t="s">
        <v>61</v>
      </c>
      <c r="G7" s="25" t="s">
        <v>62</v>
      </c>
      <c r="H7" s="12" t="s">
        <v>63</v>
      </c>
    </row>
    <row r="8" spans="1:8" ht="72" customHeight="1">
      <c r="A8" s="11" t="s">
        <v>64</v>
      </c>
      <c r="B8" s="25" t="s">
        <v>65</v>
      </c>
      <c r="C8" s="25" t="s">
        <v>66</v>
      </c>
      <c r="D8" s="25">
        <v>24.5</v>
      </c>
      <c r="E8" s="25" t="s">
        <v>67</v>
      </c>
      <c r="F8" s="25" t="s">
        <v>68</v>
      </c>
      <c r="G8" s="25" t="s">
        <v>69</v>
      </c>
      <c r="H8" s="12" t="s">
        <v>70</v>
      </c>
    </row>
    <row r="9" spans="1:8" ht="72" customHeight="1">
      <c r="A9" s="11" t="s">
        <v>71</v>
      </c>
      <c r="B9" s="25" t="s">
        <v>72</v>
      </c>
      <c r="C9" s="25" t="s">
        <v>59</v>
      </c>
      <c r="D9" s="25">
        <v>28</v>
      </c>
      <c r="E9" s="25" t="s">
        <v>60</v>
      </c>
      <c r="F9" s="25" t="s">
        <v>73</v>
      </c>
      <c r="G9" s="25" t="s">
        <v>74</v>
      </c>
      <c r="H9" s="12" t="s">
        <v>63</v>
      </c>
    </row>
    <row r="10" spans="1:8" ht="72" customHeight="1">
      <c r="A10" s="11" t="s">
        <v>75</v>
      </c>
      <c r="B10" s="25" t="s">
        <v>76</v>
      </c>
      <c r="C10" s="25" t="s">
        <v>66</v>
      </c>
      <c r="D10" s="25">
        <v>24.5</v>
      </c>
      <c r="E10" s="25" t="s">
        <v>67</v>
      </c>
      <c r="F10" s="25" t="s">
        <v>77</v>
      </c>
      <c r="G10" s="25" t="s">
        <v>78</v>
      </c>
      <c r="H10" s="12" t="s">
        <v>79</v>
      </c>
    </row>
    <row r="11" spans="1:8" ht="72" customHeight="1">
      <c r="A11" s="7" t="s">
        <v>80</v>
      </c>
      <c r="B11" s="8" t="s">
        <v>81</v>
      </c>
      <c r="C11" s="8" t="s">
        <v>59</v>
      </c>
      <c r="D11" s="8">
        <v>28</v>
      </c>
      <c r="E11" s="8" t="s">
        <v>67</v>
      </c>
      <c r="F11" s="8" t="s">
        <v>82</v>
      </c>
      <c r="G11" s="8" t="s">
        <v>83</v>
      </c>
      <c r="H11" s="27" t="s">
        <v>84</v>
      </c>
    </row>
    <row r="12" spans="1:8" ht="72" customHeight="1">
      <c r="A12" s="11" t="s">
        <v>85</v>
      </c>
      <c r="B12" s="25" t="s">
        <v>86</v>
      </c>
      <c r="C12" s="25" t="s">
        <v>66</v>
      </c>
      <c r="D12" s="25">
        <v>24.5</v>
      </c>
      <c r="E12" s="25" t="s">
        <v>87</v>
      </c>
      <c r="F12" s="25" t="s">
        <v>88</v>
      </c>
      <c r="G12" s="25" t="s">
        <v>89</v>
      </c>
      <c r="H12" s="12" t="s">
        <v>90</v>
      </c>
    </row>
    <row r="13" spans="1:8" ht="72" customHeight="1">
      <c r="A13" s="11" t="s">
        <v>91</v>
      </c>
      <c r="B13" s="25" t="s">
        <v>92</v>
      </c>
      <c r="C13" s="25" t="s">
        <v>93</v>
      </c>
      <c r="D13" s="25">
        <v>21</v>
      </c>
      <c r="E13" s="25" t="s">
        <v>94</v>
      </c>
      <c r="F13" s="25" t="s">
        <v>95</v>
      </c>
      <c r="G13" s="25" t="s">
        <v>96</v>
      </c>
      <c r="H13" s="27" t="s">
        <v>97</v>
      </c>
    </row>
    <row r="14" spans="1:8" ht="72" customHeight="1">
      <c r="A14" s="28" t="s">
        <v>98</v>
      </c>
      <c r="B14" s="29" t="s">
        <v>99</v>
      </c>
      <c r="C14" s="29" t="s">
        <v>100</v>
      </c>
      <c r="D14" s="29" t="s">
        <v>54</v>
      </c>
      <c r="E14" s="29" t="s">
        <v>54</v>
      </c>
      <c r="F14" s="29" t="s">
        <v>101</v>
      </c>
      <c r="G14" s="29" t="s">
        <v>54</v>
      </c>
      <c r="H14" s="30" t="s">
        <v>102</v>
      </c>
    </row>
    <row r="16" spans="1:8" ht="15">
      <c r="A16" s="52" t="s">
        <v>103</v>
      </c>
      <c r="B16" s="52"/>
      <c r="C16" s="52"/>
      <c r="D16" s="52"/>
      <c r="E16" s="52"/>
      <c r="F16" s="52"/>
      <c r="G16" s="52"/>
      <c r="H16" s="52"/>
    </row>
    <row r="17" spans="1:8" ht="15">
      <c r="A17" s="21" t="s">
        <v>104</v>
      </c>
      <c r="B17" s="22" t="s">
        <v>105</v>
      </c>
      <c r="C17" s="22" t="s">
        <v>106</v>
      </c>
      <c r="D17" s="23" t="s">
        <v>107</v>
      </c>
      <c r="F17" s="72" t="s">
        <v>108</v>
      </c>
      <c r="G17" s="73" t="s">
        <v>108</v>
      </c>
      <c r="H17" s="74" t="s">
        <v>108</v>
      </c>
    </row>
    <row r="18" spans="1:8" ht="57">
      <c r="A18" s="9" t="s">
        <v>109</v>
      </c>
      <c r="B18" s="31">
        <f>SUM(D6:D13)</f>
        <v>203</v>
      </c>
      <c r="C18" s="24" t="s">
        <v>110</v>
      </c>
      <c r="D18" s="10" t="s">
        <v>111</v>
      </c>
      <c r="F18" s="75" t="s">
        <v>108</v>
      </c>
      <c r="G18" s="76" t="s">
        <v>108</v>
      </c>
      <c r="H18" s="77" t="s">
        <v>108</v>
      </c>
    </row>
    <row r="19" spans="1:8" ht="42.75">
      <c r="A19" s="11" t="s">
        <v>112</v>
      </c>
      <c r="B19" s="32">
        <v>41</v>
      </c>
      <c r="C19" s="25" t="s">
        <v>27</v>
      </c>
      <c r="D19" s="12" t="s">
        <v>113</v>
      </c>
      <c r="F19" s="75" t="s">
        <v>108</v>
      </c>
      <c r="G19" s="76" t="s">
        <v>108</v>
      </c>
      <c r="H19" s="77" t="s">
        <v>108</v>
      </c>
    </row>
    <row r="20" spans="1:8" ht="42.75">
      <c r="A20" s="11" t="s">
        <v>114</v>
      </c>
      <c r="B20" s="32">
        <v>10</v>
      </c>
      <c r="C20" s="25" t="s">
        <v>27</v>
      </c>
      <c r="D20" s="12" t="s">
        <v>115</v>
      </c>
      <c r="F20" s="75" t="s">
        <v>108</v>
      </c>
      <c r="G20" s="76" t="s">
        <v>108</v>
      </c>
      <c r="H20" s="77" t="s">
        <v>108</v>
      </c>
    </row>
    <row r="21" spans="1:8" ht="42.75">
      <c r="A21" s="11" t="s">
        <v>116</v>
      </c>
      <c r="B21" s="32">
        <f>SUM(B19:B20)</f>
        <v>51</v>
      </c>
      <c r="C21" s="25" t="s">
        <v>27</v>
      </c>
      <c r="D21" s="12" t="s">
        <v>117</v>
      </c>
      <c r="F21" s="75" t="s">
        <v>108</v>
      </c>
      <c r="G21" s="76" t="s">
        <v>108</v>
      </c>
      <c r="H21" s="77" t="s">
        <v>108</v>
      </c>
    </row>
    <row r="22" spans="1:8" ht="42.75">
      <c r="A22" s="13" t="s">
        <v>118</v>
      </c>
      <c r="B22" s="33">
        <f>60-B21</f>
        <v>9</v>
      </c>
      <c r="C22" s="26" t="s">
        <v>27</v>
      </c>
      <c r="D22" s="14" t="s">
        <v>119</v>
      </c>
      <c r="F22" s="78" t="s">
        <v>108</v>
      </c>
      <c r="G22" s="79" t="s">
        <v>108</v>
      </c>
      <c r="H22" s="80" t="s">
        <v>108</v>
      </c>
    </row>
  </sheetData>
  <mergeCells count="4">
    <mergeCell ref="A1:H2"/>
    <mergeCell ref="A3:H3"/>
    <mergeCell ref="A16:H16"/>
    <mergeCell ref="F17:H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sqref="A1:F2"/>
    </sheetView>
  </sheetViews>
  <sheetFormatPr baseColWidth="10" defaultColWidth="9" defaultRowHeight="14.25"/>
  <cols>
    <col min="1" max="1" width="14" customWidth="1"/>
    <col min="2" max="3" width="16" customWidth="1"/>
    <col min="4" max="5" width="18" customWidth="1"/>
    <col min="6" max="6" width="14" customWidth="1"/>
    <col min="7" max="7" width="3" customWidth="1"/>
  </cols>
  <sheetData>
    <row r="1" spans="1:6">
      <c r="A1" s="51" t="s">
        <v>120</v>
      </c>
      <c r="B1" s="51"/>
      <c r="C1" s="51"/>
      <c r="D1" s="51"/>
      <c r="E1" s="51"/>
      <c r="F1" s="51"/>
    </row>
    <row r="2" spans="1:6">
      <c r="A2" s="51"/>
      <c r="B2" s="51"/>
      <c r="C2" s="51"/>
      <c r="D2" s="51"/>
      <c r="E2" s="51"/>
      <c r="F2" s="51"/>
    </row>
    <row r="3" spans="1:6">
      <c r="A3" s="81" t="s">
        <v>121</v>
      </c>
      <c r="B3" s="81"/>
      <c r="C3" s="81"/>
      <c r="D3" s="81"/>
      <c r="E3" s="81"/>
      <c r="F3" s="81"/>
    </row>
    <row r="5" spans="1:6" ht="30">
      <c r="A5" s="21" t="s">
        <v>43</v>
      </c>
      <c r="B5" s="22" t="s">
        <v>122</v>
      </c>
      <c r="C5" s="22" t="s">
        <v>123</v>
      </c>
      <c r="D5" s="22" t="s">
        <v>124</v>
      </c>
      <c r="E5" s="22" t="s">
        <v>125</v>
      </c>
      <c r="F5" s="23" t="s">
        <v>126</v>
      </c>
    </row>
    <row r="6" spans="1:6">
      <c r="A6" s="9" t="s">
        <v>127</v>
      </c>
      <c r="B6" s="24" t="s">
        <v>128</v>
      </c>
      <c r="C6" s="34">
        <v>0</v>
      </c>
      <c r="D6" s="34">
        <f>C6</f>
        <v>0</v>
      </c>
      <c r="E6" s="35">
        <v>0</v>
      </c>
      <c r="F6" s="36">
        <v>51</v>
      </c>
    </row>
    <row r="7" spans="1:6">
      <c r="A7" s="11" t="s">
        <v>57</v>
      </c>
      <c r="B7" s="25" t="s">
        <v>129</v>
      </c>
      <c r="C7" s="37">
        <v>8</v>
      </c>
      <c r="D7" s="37">
        <f t="shared" ref="D7:D13" si="0">D6+C7</f>
        <v>8</v>
      </c>
      <c r="E7" s="38"/>
      <c r="F7" s="39">
        <v>51</v>
      </c>
    </row>
    <row r="8" spans="1:6">
      <c r="A8" s="11" t="s">
        <v>64</v>
      </c>
      <c r="B8" s="25" t="s">
        <v>130</v>
      </c>
      <c r="C8" s="37">
        <v>8</v>
      </c>
      <c r="D8" s="37">
        <f t="shared" si="0"/>
        <v>16</v>
      </c>
      <c r="E8" s="38"/>
      <c r="F8" s="39">
        <v>51</v>
      </c>
    </row>
    <row r="9" spans="1:6">
      <c r="A9" s="11" t="s">
        <v>71</v>
      </c>
      <c r="B9" s="25" t="s">
        <v>131</v>
      </c>
      <c r="C9" s="37">
        <v>9</v>
      </c>
      <c r="D9" s="37">
        <f t="shared" si="0"/>
        <v>25</v>
      </c>
      <c r="E9" s="38"/>
      <c r="F9" s="39">
        <v>51</v>
      </c>
    </row>
    <row r="10" spans="1:6">
      <c r="A10" s="11" t="s">
        <v>75</v>
      </c>
      <c r="B10" s="25" t="s">
        <v>132</v>
      </c>
      <c r="C10" s="37">
        <v>8</v>
      </c>
      <c r="D10" s="37">
        <f t="shared" si="0"/>
        <v>33</v>
      </c>
      <c r="E10" s="38"/>
      <c r="F10" s="39">
        <v>51</v>
      </c>
    </row>
    <row r="11" spans="1:6">
      <c r="A11" s="11" t="s">
        <v>80</v>
      </c>
      <c r="B11" s="25" t="s">
        <v>133</v>
      </c>
      <c r="C11" s="37">
        <v>8</v>
      </c>
      <c r="D11" s="37">
        <f t="shared" si="0"/>
        <v>41</v>
      </c>
      <c r="E11" s="38"/>
      <c r="F11" s="39">
        <v>51</v>
      </c>
    </row>
    <row r="12" spans="1:6">
      <c r="A12" s="11" t="s">
        <v>85</v>
      </c>
      <c r="B12" s="25" t="s">
        <v>134</v>
      </c>
      <c r="C12" s="37">
        <v>5</v>
      </c>
      <c r="D12" s="37">
        <f t="shared" si="0"/>
        <v>46</v>
      </c>
      <c r="E12" s="38"/>
      <c r="F12" s="39">
        <v>51</v>
      </c>
    </row>
    <row r="13" spans="1:6">
      <c r="A13" s="13" t="s">
        <v>91</v>
      </c>
      <c r="B13" s="26" t="s">
        <v>135</v>
      </c>
      <c r="C13" s="40">
        <v>5</v>
      </c>
      <c r="D13" s="40">
        <f t="shared" si="0"/>
        <v>51</v>
      </c>
      <c r="E13" s="41"/>
      <c r="F13" s="42">
        <v>51</v>
      </c>
    </row>
    <row r="15" spans="1:6">
      <c r="A15" s="82" t="s">
        <v>136</v>
      </c>
      <c r="B15" s="83"/>
      <c r="C15" s="83"/>
      <c r="D15" s="83"/>
      <c r="E15" s="83"/>
      <c r="F15" s="84"/>
    </row>
    <row r="16" spans="1:6">
      <c r="A16" s="85"/>
      <c r="B16" s="86"/>
      <c r="C16" s="86"/>
      <c r="D16" s="86"/>
      <c r="E16" s="86"/>
      <c r="F16" s="87"/>
    </row>
    <row r="17" spans="1:6">
      <c r="A17" s="88"/>
      <c r="B17" s="89"/>
      <c r="C17" s="89"/>
      <c r="D17" s="89"/>
      <c r="E17" s="89"/>
      <c r="F17" s="90"/>
    </row>
  </sheetData>
  <mergeCells count="3">
    <mergeCell ref="A1:F2"/>
    <mergeCell ref="A3:F3"/>
    <mergeCell ref="A15:F17"/>
  </mergeCells>
  <dataValidations count="1">
    <dataValidation type="decimal" sqref="E6:E13" xr:uid="{00000000-0002-0000-0300-000000000000}">
      <formula1>0</formula1>
      <formula2>51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topLeftCell="A3" workbookViewId="0">
      <selection sqref="A1:D2"/>
    </sheetView>
  </sheetViews>
  <sheetFormatPr baseColWidth="10" defaultColWidth="9" defaultRowHeight="14.25"/>
  <cols>
    <col min="1" max="1" width="48" customWidth="1"/>
    <col min="2" max="2" width="18" customWidth="1"/>
    <col min="3" max="4" width="36" customWidth="1"/>
  </cols>
  <sheetData>
    <row r="1" spans="1:4">
      <c r="A1" s="51" t="s">
        <v>137</v>
      </c>
      <c r="B1" s="51"/>
      <c r="C1" s="51"/>
      <c r="D1" s="51"/>
    </row>
    <row r="2" spans="1:4">
      <c r="A2" s="51"/>
      <c r="B2" s="51"/>
      <c r="C2" s="51"/>
      <c r="D2" s="51"/>
    </row>
    <row r="4" spans="1:4" ht="15">
      <c r="A4" s="21" t="s">
        <v>138</v>
      </c>
      <c r="B4" s="22" t="s">
        <v>139</v>
      </c>
      <c r="C4" s="22" t="s">
        <v>140</v>
      </c>
      <c r="D4" s="23" t="s">
        <v>141</v>
      </c>
    </row>
    <row r="5" spans="1:4" ht="44.1" customHeight="1">
      <c r="A5" s="9" t="s">
        <v>142</v>
      </c>
      <c r="B5" s="24" t="s">
        <v>143</v>
      </c>
      <c r="C5" s="24" t="s">
        <v>144</v>
      </c>
      <c r="D5" s="10"/>
    </row>
    <row r="6" spans="1:4" ht="44.1" customHeight="1">
      <c r="A6" s="11" t="s">
        <v>145</v>
      </c>
      <c r="B6" s="25" t="s">
        <v>143</v>
      </c>
      <c r="C6" s="25" t="s">
        <v>146</v>
      </c>
      <c r="D6" s="12" t="s">
        <v>147</v>
      </c>
    </row>
    <row r="7" spans="1:4" ht="44.1" customHeight="1">
      <c r="A7" s="11" t="s">
        <v>148</v>
      </c>
      <c r="B7" s="25" t="s">
        <v>143</v>
      </c>
      <c r="C7" s="25" t="s">
        <v>149</v>
      </c>
      <c r="D7" s="12"/>
    </row>
    <row r="8" spans="1:4" ht="44.1" customHeight="1">
      <c r="A8" s="11" t="s">
        <v>150</v>
      </c>
      <c r="B8" s="25" t="s">
        <v>143</v>
      </c>
      <c r="C8" s="25" t="s">
        <v>151</v>
      </c>
      <c r="D8" s="12"/>
    </row>
    <row r="9" spans="1:4" ht="44.1" customHeight="1">
      <c r="A9" s="11" t="s">
        <v>152</v>
      </c>
      <c r="B9" s="25" t="s">
        <v>153</v>
      </c>
      <c r="C9" s="25" t="s">
        <v>154</v>
      </c>
      <c r="D9" s="12" t="s">
        <v>155</v>
      </c>
    </row>
    <row r="10" spans="1:4" ht="44.1" customHeight="1">
      <c r="A10" s="11" t="s">
        <v>156</v>
      </c>
      <c r="B10" s="25" t="s">
        <v>143</v>
      </c>
      <c r="C10" s="25" t="s">
        <v>157</v>
      </c>
      <c r="D10" s="12"/>
    </row>
    <row r="11" spans="1:4" ht="44.1" customHeight="1">
      <c r="A11" s="11" t="s">
        <v>158</v>
      </c>
      <c r="B11" s="25" t="s">
        <v>143</v>
      </c>
      <c r="C11" s="25" t="s">
        <v>159</v>
      </c>
      <c r="D11" s="12"/>
    </row>
    <row r="12" spans="1:4" ht="44.1" customHeight="1">
      <c r="A12" s="11" t="s">
        <v>160</v>
      </c>
      <c r="B12" s="25" t="s">
        <v>143</v>
      </c>
      <c r="C12" s="25" t="s">
        <v>161</v>
      </c>
      <c r="D12" s="12"/>
    </row>
    <row r="13" spans="1:4" ht="44.1" customHeight="1">
      <c r="A13" s="13" t="s">
        <v>162</v>
      </c>
      <c r="B13" s="26" t="s">
        <v>143</v>
      </c>
      <c r="C13" s="26" t="s">
        <v>163</v>
      </c>
      <c r="D13" s="14" t="s">
        <v>164</v>
      </c>
    </row>
    <row r="14" spans="1:4" ht="44.1" customHeight="1">
      <c r="A14" s="13" t="s">
        <v>165</v>
      </c>
      <c r="B14" s="26" t="s">
        <v>166</v>
      </c>
      <c r="C14" s="26" t="s">
        <v>167</v>
      </c>
      <c r="D14" s="14" t="s">
        <v>168</v>
      </c>
    </row>
  </sheetData>
  <mergeCells count="1">
    <mergeCell ref="A1:D2"/>
  </mergeCells>
  <conditionalFormatting sqref="B5:B13">
    <cfRule type="expression" dxfId="17" priority="1">
      <formula>B5="Oui"</formula>
    </cfRule>
    <cfRule type="expression" dxfId="16" priority="2">
      <formula>B5="Partiel"</formula>
    </cfRule>
    <cfRule type="expression" dxfId="15" priority="3">
      <formula>B5="Non"</formula>
    </cfRule>
  </conditionalFormatting>
  <conditionalFormatting sqref="B5:B14">
    <cfRule type="expression" dxfId="14" priority="4">
      <formula>B5="Oui"</formula>
    </cfRule>
    <cfRule type="expression" dxfId="13" priority="5">
      <formula>B5="Partiel"</formula>
    </cfRule>
    <cfRule type="expression" dxfId="12" priority="6">
      <formula>B5="Non"</formula>
    </cfRule>
  </conditionalFormatting>
  <dataValidations count="1">
    <dataValidation type="list" sqref="B5:B14" xr:uid="{00000000-0002-0000-0400-000000000000}">
      <formula1>"Oui,Partiel,Non"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sqref="A1:E2"/>
    </sheetView>
  </sheetViews>
  <sheetFormatPr baseColWidth="10" defaultColWidth="9" defaultRowHeight="14.25"/>
  <cols>
    <col min="1" max="1" width="12" customWidth="1"/>
    <col min="2" max="2" width="42" customWidth="1"/>
    <col min="3" max="4" width="40" customWidth="1"/>
    <col min="5" max="5" width="28" customWidth="1"/>
  </cols>
  <sheetData>
    <row r="1" spans="1:5">
      <c r="A1" s="51" t="s">
        <v>169</v>
      </c>
      <c r="B1" s="51"/>
      <c r="C1" s="51"/>
      <c r="D1" s="51"/>
      <c r="E1" s="51"/>
    </row>
    <row r="2" spans="1:5">
      <c r="A2" s="51"/>
      <c r="B2" s="51"/>
      <c r="C2" s="51"/>
      <c r="D2" s="51"/>
      <c r="E2" s="51"/>
    </row>
    <row r="4" spans="1:5" ht="15">
      <c r="A4" s="21" t="s">
        <v>170</v>
      </c>
      <c r="B4" s="22" t="s">
        <v>171</v>
      </c>
      <c r="C4" s="22" t="s">
        <v>172</v>
      </c>
      <c r="D4" s="22" t="s">
        <v>173</v>
      </c>
      <c r="E4" s="23" t="s">
        <v>174</v>
      </c>
    </row>
    <row r="5" spans="1:5" ht="72" customHeight="1">
      <c r="A5" s="9" t="s">
        <v>175</v>
      </c>
      <c r="B5" s="24" t="s">
        <v>176</v>
      </c>
      <c r="C5" s="24" t="s">
        <v>177</v>
      </c>
      <c r="D5" s="24" t="s">
        <v>178</v>
      </c>
      <c r="E5" s="10" t="s">
        <v>179</v>
      </c>
    </row>
    <row r="6" spans="1:5" ht="72" customHeight="1">
      <c r="A6" s="11" t="s">
        <v>175</v>
      </c>
      <c r="B6" s="25" t="s">
        <v>180</v>
      </c>
      <c r="C6" s="25" t="s">
        <v>181</v>
      </c>
      <c r="D6" s="25" t="s">
        <v>182</v>
      </c>
      <c r="E6" s="12" t="s">
        <v>183</v>
      </c>
    </row>
    <row r="7" spans="1:5" ht="72" customHeight="1">
      <c r="A7" s="11" t="s">
        <v>175</v>
      </c>
      <c r="B7" s="25" t="s">
        <v>184</v>
      </c>
      <c r="C7" s="25" t="s">
        <v>185</v>
      </c>
      <c r="D7" s="25" t="s">
        <v>186</v>
      </c>
      <c r="E7" s="12" t="s">
        <v>187</v>
      </c>
    </row>
    <row r="8" spans="1:5" ht="72" customHeight="1">
      <c r="A8" s="11" t="s">
        <v>175</v>
      </c>
      <c r="B8" s="25" t="s">
        <v>188</v>
      </c>
      <c r="C8" s="25" t="s">
        <v>189</v>
      </c>
      <c r="D8" s="25" t="s">
        <v>190</v>
      </c>
      <c r="E8" s="12" t="s">
        <v>191</v>
      </c>
    </row>
    <row r="9" spans="1:5" ht="72" customHeight="1">
      <c r="A9" s="11" t="s">
        <v>192</v>
      </c>
      <c r="B9" s="25" t="s">
        <v>193</v>
      </c>
      <c r="C9" s="25" t="s">
        <v>194</v>
      </c>
      <c r="D9" s="25" t="s">
        <v>195</v>
      </c>
      <c r="E9" s="12" t="s">
        <v>196</v>
      </c>
    </row>
    <row r="10" spans="1:5" ht="72" customHeight="1">
      <c r="A10" s="11" t="s">
        <v>192</v>
      </c>
      <c r="B10" s="25" t="s">
        <v>197</v>
      </c>
      <c r="C10" s="25" t="s">
        <v>198</v>
      </c>
      <c r="D10" s="25" t="s">
        <v>199</v>
      </c>
      <c r="E10" s="12" t="s">
        <v>200</v>
      </c>
    </row>
    <row r="11" spans="1:5" ht="72" customHeight="1">
      <c r="A11" s="11" t="s">
        <v>192</v>
      </c>
      <c r="B11" s="25" t="s">
        <v>201</v>
      </c>
      <c r="C11" s="25" t="s">
        <v>202</v>
      </c>
      <c r="D11" s="25" t="s">
        <v>203</v>
      </c>
      <c r="E11" s="12" t="s">
        <v>200</v>
      </c>
    </row>
    <row r="12" spans="1:5" ht="72" customHeight="1">
      <c r="A12" s="13" t="s">
        <v>192</v>
      </c>
      <c r="B12" s="26" t="s">
        <v>204</v>
      </c>
      <c r="C12" s="26" t="s">
        <v>205</v>
      </c>
      <c r="D12" s="26" t="s">
        <v>206</v>
      </c>
      <c r="E12" s="14" t="s">
        <v>207</v>
      </c>
    </row>
    <row r="13" spans="1:5" ht="72" customHeight="1">
      <c r="A13" s="11" t="s">
        <v>192</v>
      </c>
      <c r="B13" s="25" t="s">
        <v>208</v>
      </c>
      <c r="C13" s="25" t="s">
        <v>209</v>
      </c>
      <c r="D13" s="25" t="s">
        <v>210</v>
      </c>
      <c r="E13" s="12" t="s">
        <v>211</v>
      </c>
    </row>
    <row r="14" spans="1:5" ht="72" customHeight="1">
      <c r="A14" s="11" t="s">
        <v>192</v>
      </c>
      <c r="B14" s="25" t="s">
        <v>212</v>
      </c>
      <c r="C14" s="25" t="s">
        <v>213</v>
      </c>
      <c r="D14" s="25" t="s">
        <v>214</v>
      </c>
      <c r="E14" s="12" t="s">
        <v>215</v>
      </c>
    </row>
    <row r="15" spans="1:5" ht="72" customHeight="1">
      <c r="A15" s="13" t="s">
        <v>216</v>
      </c>
      <c r="B15" s="26" t="s">
        <v>217</v>
      </c>
      <c r="C15" s="26" t="s">
        <v>218</v>
      </c>
      <c r="D15" s="26" t="s">
        <v>219</v>
      </c>
      <c r="E15" s="14" t="s">
        <v>220</v>
      </c>
    </row>
  </sheetData>
  <mergeCells count="1">
    <mergeCell ref="A1:E2"/>
  </mergeCells>
  <conditionalFormatting sqref="A5:A12">
    <cfRule type="expression" dxfId="11" priority="1">
      <formula>A5="Haute"</formula>
    </cfRule>
    <cfRule type="expression" dxfId="10" priority="2">
      <formula>A5="Moyenne"</formula>
    </cfRule>
    <cfRule type="expression" dxfId="9" priority="3">
      <formula>A5="Basse"</formula>
    </cfRule>
  </conditionalFormatting>
  <conditionalFormatting sqref="A5:A15">
    <cfRule type="expression" dxfId="8" priority="4">
      <formula>A5="Haute"</formula>
    </cfRule>
    <cfRule type="expression" dxfId="7" priority="5">
      <formula>A5="Moyenne"</formula>
    </cfRule>
    <cfRule type="expression" dxfId="6" priority="6">
      <formula>A5="Basse"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topLeftCell="A10" workbookViewId="0">
      <selection sqref="A1:G2"/>
    </sheetView>
  </sheetViews>
  <sheetFormatPr baseColWidth="10" defaultColWidth="9" defaultRowHeight="14.25"/>
  <cols>
    <col min="1" max="1" width="18" customWidth="1"/>
    <col min="2" max="2" width="23" customWidth="1"/>
    <col min="3" max="3" width="42" customWidth="1"/>
    <col min="4" max="4" width="25" customWidth="1"/>
    <col min="5" max="5" width="18" customWidth="1"/>
    <col min="6" max="6" width="20" customWidth="1"/>
    <col min="7" max="7" width="38" customWidth="1"/>
  </cols>
  <sheetData>
    <row r="1" spans="1:7">
      <c r="A1" s="91" t="s">
        <v>221</v>
      </c>
      <c r="B1" s="91"/>
      <c r="C1" s="91"/>
      <c r="D1" s="91"/>
      <c r="E1" s="91"/>
      <c r="F1" s="91"/>
      <c r="G1" s="91"/>
    </row>
    <row r="2" spans="1:7">
      <c r="A2" s="91"/>
      <c r="B2" s="91"/>
      <c r="C2" s="91"/>
      <c r="D2" s="91"/>
      <c r="E2" s="91"/>
      <c r="F2" s="91"/>
      <c r="G2" s="91"/>
    </row>
    <row r="3" spans="1:7">
      <c r="A3" s="92" t="s">
        <v>222</v>
      </c>
      <c r="B3" s="92"/>
      <c r="C3" s="92"/>
      <c r="D3" s="92"/>
      <c r="E3" s="92"/>
      <c r="F3" s="92"/>
      <c r="G3" s="92"/>
    </row>
    <row r="5" spans="1:7" ht="15">
      <c r="A5" s="43" t="s">
        <v>223</v>
      </c>
      <c r="B5" s="44" t="s">
        <v>224</v>
      </c>
      <c r="C5" s="44" t="s">
        <v>225</v>
      </c>
      <c r="D5" s="44" t="s">
        <v>226</v>
      </c>
      <c r="E5" s="44" t="s">
        <v>43</v>
      </c>
      <c r="F5" s="44" t="s">
        <v>16</v>
      </c>
      <c r="G5" s="45" t="s">
        <v>227</v>
      </c>
    </row>
    <row r="6" spans="1:7" ht="54" customHeight="1">
      <c r="A6" s="9" t="s">
        <v>228</v>
      </c>
      <c r="B6" s="24" t="s">
        <v>229</v>
      </c>
      <c r="C6" s="24" t="s">
        <v>230</v>
      </c>
      <c r="D6" s="24" t="s">
        <v>231</v>
      </c>
      <c r="E6" s="24" t="s">
        <v>232</v>
      </c>
      <c r="F6" s="24" t="s">
        <v>233</v>
      </c>
      <c r="G6" s="10" t="s">
        <v>234</v>
      </c>
    </row>
    <row r="7" spans="1:7" ht="54" customHeight="1">
      <c r="A7" s="11" t="s">
        <v>228</v>
      </c>
      <c r="B7" s="25" t="s">
        <v>235</v>
      </c>
      <c r="C7" s="25" t="s">
        <v>236</v>
      </c>
      <c r="D7" s="25" t="s">
        <v>237</v>
      </c>
      <c r="E7" s="25" t="s">
        <v>232</v>
      </c>
      <c r="F7" s="25" t="s">
        <v>233</v>
      </c>
      <c r="G7" s="12" t="s">
        <v>238</v>
      </c>
    </row>
    <row r="8" spans="1:7" ht="54" customHeight="1">
      <c r="A8" s="11" t="s">
        <v>228</v>
      </c>
      <c r="B8" s="25" t="s">
        <v>235</v>
      </c>
      <c r="C8" s="25" t="s">
        <v>239</v>
      </c>
      <c r="D8" s="25" t="s">
        <v>240</v>
      </c>
      <c r="E8" s="25" t="s">
        <v>241</v>
      </c>
      <c r="F8" s="25" t="s">
        <v>233</v>
      </c>
      <c r="G8" s="12" t="s">
        <v>242</v>
      </c>
    </row>
    <row r="9" spans="1:7" ht="54" customHeight="1">
      <c r="A9" s="11" t="s">
        <v>228</v>
      </c>
      <c r="B9" s="25" t="s">
        <v>235</v>
      </c>
      <c r="C9" s="25" t="s">
        <v>243</v>
      </c>
      <c r="D9" s="25" t="s">
        <v>244</v>
      </c>
      <c r="E9" s="25" t="s">
        <v>245</v>
      </c>
      <c r="F9" s="25" t="s">
        <v>233</v>
      </c>
      <c r="G9" s="12" t="s">
        <v>246</v>
      </c>
    </row>
    <row r="10" spans="1:7" ht="54" customHeight="1">
      <c r="A10" s="11" t="s">
        <v>228</v>
      </c>
      <c r="B10" s="25" t="s">
        <v>247</v>
      </c>
      <c r="C10" s="25" t="s">
        <v>248</v>
      </c>
      <c r="D10" s="25" t="s">
        <v>249</v>
      </c>
      <c r="E10" s="25" t="s">
        <v>250</v>
      </c>
      <c r="F10" s="25" t="s">
        <v>233</v>
      </c>
      <c r="G10" s="12" t="s">
        <v>251</v>
      </c>
    </row>
    <row r="11" spans="1:7" ht="54" customHeight="1">
      <c r="A11" s="11" t="s">
        <v>228</v>
      </c>
      <c r="B11" s="25" t="s">
        <v>247</v>
      </c>
      <c r="C11" s="25" t="s">
        <v>252</v>
      </c>
      <c r="D11" s="25" t="s">
        <v>253</v>
      </c>
      <c r="E11" s="25" t="s">
        <v>254</v>
      </c>
      <c r="F11" s="25" t="s">
        <v>255</v>
      </c>
      <c r="G11" s="12" t="s">
        <v>256</v>
      </c>
    </row>
    <row r="12" spans="1:7" ht="54" customHeight="1">
      <c r="A12" s="11" t="s">
        <v>257</v>
      </c>
      <c r="B12" s="25" t="s">
        <v>258</v>
      </c>
      <c r="C12" s="25" t="s">
        <v>259</v>
      </c>
      <c r="D12" s="25" t="s">
        <v>260</v>
      </c>
      <c r="E12" s="25" t="s">
        <v>261</v>
      </c>
      <c r="F12" s="25" t="s">
        <v>153</v>
      </c>
      <c r="G12" s="12" t="s">
        <v>262</v>
      </c>
    </row>
    <row r="13" spans="1:7" ht="54" customHeight="1">
      <c r="A13" s="11" t="s">
        <v>257</v>
      </c>
      <c r="B13" s="25" t="s">
        <v>263</v>
      </c>
      <c r="C13" s="25" t="s">
        <v>264</v>
      </c>
      <c r="D13" s="25" t="s">
        <v>265</v>
      </c>
      <c r="E13" s="25" t="s">
        <v>266</v>
      </c>
      <c r="F13" s="25" t="s">
        <v>233</v>
      </c>
      <c r="G13" s="12" t="s">
        <v>267</v>
      </c>
    </row>
    <row r="14" spans="1:7" ht="54" customHeight="1">
      <c r="A14" s="11" t="s">
        <v>257</v>
      </c>
      <c r="B14" s="25" t="s">
        <v>268</v>
      </c>
      <c r="C14" s="25" t="s">
        <v>269</v>
      </c>
      <c r="D14" s="25" t="s">
        <v>270</v>
      </c>
      <c r="E14" s="25" t="s">
        <v>250</v>
      </c>
      <c r="F14" s="25" t="s">
        <v>233</v>
      </c>
      <c r="G14" s="12" t="s">
        <v>271</v>
      </c>
    </row>
    <row r="15" spans="1:7" ht="54" customHeight="1">
      <c r="A15" s="11" t="s">
        <v>257</v>
      </c>
      <c r="B15" s="25" t="s">
        <v>272</v>
      </c>
      <c r="C15" s="25" t="s">
        <v>273</v>
      </c>
      <c r="D15" s="25" t="s">
        <v>274</v>
      </c>
      <c r="E15" s="25" t="s">
        <v>275</v>
      </c>
      <c r="F15" s="25" t="s">
        <v>276</v>
      </c>
      <c r="G15" s="12" t="s">
        <v>277</v>
      </c>
    </row>
    <row r="16" spans="1:7" ht="54" customHeight="1">
      <c r="A16" s="11" t="s">
        <v>257</v>
      </c>
      <c r="B16" s="25" t="s">
        <v>278</v>
      </c>
      <c r="C16" s="25" t="s">
        <v>279</v>
      </c>
      <c r="D16" s="25" t="s">
        <v>280</v>
      </c>
      <c r="E16" s="25" t="s">
        <v>281</v>
      </c>
      <c r="F16" s="25" t="s">
        <v>276</v>
      </c>
      <c r="G16" s="12" t="s">
        <v>277</v>
      </c>
    </row>
    <row r="17" spans="1:7" ht="54" customHeight="1">
      <c r="A17" s="11" t="s">
        <v>257</v>
      </c>
      <c r="B17" s="25" t="s">
        <v>278</v>
      </c>
      <c r="C17" s="25" t="s">
        <v>282</v>
      </c>
      <c r="D17" s="25" t="s">
        <v>283</v>
      </c>
      <c r="E17" s="25" t="s">
        <v>284</v>
      </c>
      <c r="F17" s="25" t="s">
        <v>285</v>
      </c>
      <c r="G17" s="12" t="s">
        <v>286</v>
      </c>
    </row>
    <row r="18" spans="1:7" ht="54" customHeight="1">
      <c r="A18" s="11" t="s">
        <v>257</v>
      </c>
      <c r="B18" s="25" t="s">
        <v>268</v>
      </c>
      <c r="C18" s="25" t="s">
        <v>287</v>
      </c>
      <c r="D18" s="25" t="s">
        <v>288</v>
      </c>
      <c r="E18" s="25" t="s">
        <v>289</v>
      </c>
      <c r="F18" s="25" t="s">
        <v>285</v>
      </c>
      <c r="G18" s="12" t="s">
        <v>290</v>
      </c>
    </row>
    <row r="19" spans="1:7" ht="54" customHeight="1">
      <c r="A19" s="13" t="s">
        <v>257</v>
      </c>
      <c r="B19" s="26" t="s">
        <v>291</v>
      </c>
      <c r="C19" s="26" t="s">
        <v>292</v>
      </c>
      <c r="D19" s="26" t="s">
        <v>293</v>
      </c>
      <c r="E19" s="26" t="s">
        <v>294</v>
      </c>
      <c r="F19" s="26" t="s">
        <v>295</v>
      </c>
      <c r="G19" s="14" t="s">
        <v>296</v>
      </c>
    </row>
  </sheetData>
  <mergeCells count="2">
    <mergeCell ref="A1:G2"/>
    <mergeCell ref="A3:G3"/>
  </mergeCells>
  <conditionalFormatting sqref="F6:F19">
    <cfRule type="expression" dxfId="5" priority="1">
      <formula>F6="Engagé"</formula>
    </cfRule>
    <cfRule type="expression" dxfId="4" priority="2">
      <formula>F6="Engagé provisoire"</formula>
    </cfRule>
    <cfRule type="expression" dxfId="3" priority="3">
      <formula>F6="Non engagé"</formula>
    </cfRule>
    <cfRule type="expression" dxfId="2" priority="4">
      <formula>F6="Reporté"</formula>
    </cfRule>
    <cfRule type="expression" dxfId="1" priority="5">
      <formula>F6="Partiel"</formula>
    </cfRule>
    <cfRule type="expression" dxfId="0" priority="6">
      <formula>F6="À intégrer"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00_Couverture</vt:lpstr>
      <vt:lpstr>01_Identification</vt:lpstr>
      <vt:lpstr>02_Release_Planning</vt:lpstr>
      <vt:lpstr>03_Burnup</vt:lpstr>
      <vt:lpstr>04_Auto-évaluation</vt:lpstr>
      <vt:lpstr>05_Écarts_à_valider</vt:lpstr>
      <vt:lpstr>06_Traceabilité_CJ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That Guy Digg</cp:lastModifiedBy>
  <dcterms:modified xsi:type="dcterms:W3CDTF">2026-06-30T12:15:01Z</dcterms:modified>
</cp:coreProperties>
</file>